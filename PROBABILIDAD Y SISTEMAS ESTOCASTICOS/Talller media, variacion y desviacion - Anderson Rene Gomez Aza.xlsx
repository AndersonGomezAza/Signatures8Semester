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UNIVERSIDAD 8 SEMESTRE\PROBABILIDAD Y SISTEMAS ESTOCASTICOS\"/>
    </mc:Choice>
  </mc:AlternateContent>
  <xr:revisionPtr revIDLastSave="0" documentId="13_ncr:1_{FDC5A7E5-2BD0-4FC8-B88C-052194F4BE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" i="1" l="1"/>
  <c r="B32" i="1"/>
  <c r="B31" i="1"/>
  <c r="B25" i="1"/>
  <c r="B26" i="1"/>
  <c r="B24" i="1"/>
  <c r="B20" i="1"/>
  <c r="B19" i="1"/>
  <c r="B18" i="1"/>
  <c r="B14" i="1"/>
  <c r="B15" i="1"/>
  <c r="B13" i="1"/>
  <c r="B8" i="1"/>
  <c r="B7" i="1"/>
  <c r="B6" i="1"/>
</calcChain>
</file>

<file path=xl/sharedStrings.xml><?xml version="1.0" encoding="utf-8"?>
<sst xmlns="http://schemas.openxmlformats.org/spreadsheetml/2006/main" count="33" uniqueCount="29">
  <si>
    <t>Hallar la desviación media, la varianza y la desviación típica de 10, 13, 6, 28, 31 </t>
  </si>
  <si>
    <t>1 PUNTO</t>
  </si>
  <si>
    <t>X1 = 6, X2=10, X3=13, X4=28, X5=31            Y              P=1/5</t>
  </si>
  <si>
    <r>
      <rPr>
        <b/>
        <sz val="14"/>
        <color theme="1"/>
        <rFont val="Calibri"/>
        <family val="2"/>
        <scheme val="minor"/>
      </rPr>
      <t xml:space="preserve">Media: </t>
    </r>
    <r>
      <rPr>
        <sz val="14"/>
        <color theme="1"/>
        <rFont val="Calibri"/>
        <family val="2"/>
      </rPr>
      <t>µ</t>
    </r>
    <r>
      <rPr>
        <sz val="14"/>
        <color theme="1"/>
        <rFont val="Calibri"/>
        <family val="2"/>
        <scheme val="minor"/>
      </rPr>
      <t xml:space="preserve"> = 6 * 1/5  + 10 * 1/5 + 13 * 1/5 + 28 * 1/5 + 31 * 1/5 </t>
    </r>
  </si>
  <si>
    <r>
      <t xml:space="preserve">Varianza: </t>
    </r>
    <r>
      <rPr>
        <sz val="14"/>
        <color theme="1"/>
        <rFont val="Calibri"/>
        <family val="2"/>
      </rPr>
      <t xml:space="preserve">σ² = </t>
    </r>
    <r>
      <rPr>
        <sz val="14"/>
        <color theme="1"/>
        <rFont val="Calibri"/>
        <family val="2"/>
        <scheme val="minor"/>
      </rPr>
      <t>6² * 1/5  + 10² * 1/5 + 13² * 1/5 + 28² * 1/5 + 31² * 1/5 - µ²</t>
    </r>
  </si>
  <si>
    <r>
      <t xml:space="preserve">Desviacion Tipica: </t>
    </r>
    <r>
      <rPr>
        <sz val="14"/>
        <color theme="1"/>
        <rFont val="Calibri"/>
        <family val="2"/>
      </rPr>
      <t xml:space="preserve">σ = </t>
    </r>
    <r>
      <rPr>
        <sz val="14"/>
        <color theme="1"/>
        <rFont val="Calibri"/>
        <family val="2"/>
        <scheme val="minor"/>
      </rPr>
      <t>√(varianza)</t>
    </r>
  </si>
  <si>
    <t>2 PUNTO</t>
  </si>
  <si>
    <t>Hallar la desviación media, la varianza y la desviación típica de la series de números siguientes: </t>
  </si>
  <si>
    <t xml:space="preserve">A) 2, 3, 6, 8, 11  </t>
  </si>
  <si>
    <t xml:space="preserve">B) 12, 6, 7, 3, 15, 10, 18, 5 </t>
  </si>
  <si>
    <t>X1 = 2, X2=3, X3=6, X4=8, X5=11            Y              P=1/5</t>
  </si>
  <si>
    <r>
      <rPr>
        <b/>
        <sz val="14"/>
        <color theme="1"/>
        <rFont val="Calibri"/>
        <family val="2"/>
        <scheme val="minor"/>
      </rPr>
      <t xml:space="preserve">Media: </t>
    </r>
    <r>
      <rPr>
        <sz val="14"/>
        <color theme="1"/>
        <rFont val="Calibri"/>
        <family val="2"/>
      </rPr>
      <t>µ</t>
    </r>
    <r>
      <rPr>
        <sz val="14"/>
        <color theme="1"/>
        <rFont val="Calibri"/>
        <family val="2"/>
        <scheme val="minor"/>
      </rPr>
      <t xml:space="preserve"> = 2 * 1/5  + 3 * 1/5 + 6 * 1/5 + 8 * 1/5 + 11 * 1/5 </t>
    </r>
  </si>
  <si>
    <r>
      <t xml:space="preserve">Varianza: </t>
    </r>
    <r>
      <rPr>
        <sz val="14"/>
        <color theme="1"/>
        <rFont val="Calibri"/>
        <family val="2"/>
      </rPr>
      <t>σ² = 2</t>
    </r>
    <r>
      <rPr>
        <sz val="14"/>
        <color theme="1"/>
        <rFont val="Calibri"/>
        <family val="2"/>
        <scheme val="minor"/>
      </rPr>
      <t>² * 1/5  + 3² * 1/5 + 6² * 1/5 + 8² * 1/5 + 11² * 1/5 - µ²</t>
    </r>
  </si>
  <si>
    <t>X1 = 3, X2=5, X3=6, X4=7, X5=10, X6=12, X7=15, X8=18            Y              P=1/8</t>
  </si>
  <si>
    <r>
      <rPr>
        <b/>
        <sz val="14"/>
        <color theme="1"/>
        <rFont val="Calibri"/>
        <family val="2"/>
        <scheme val="minor"/>
      </rPr>
      <t xml:space="preserve">Media: </t>
    </r>
    <r>
      <rPr>
        <sz val="14"/>
        <color theme="1"/>
        <rFont val="Calibri"/>
        <family val="2"/>
      </rPr>
      <t>µ</t>
    </r>
    <r>
      <rPr>
        <sz val="14"/>
        <color theme="1"/>
        <rFont val="Calibri"/>
        <family val="2"/>
        <scheme val="minor"/>
      </rPr>
      <t xml:space="preserve"> = (3 + 5 + 6 + 7 + 10 + 12 + 15 + 18)  * 1/8</t>
    </r>
  </si>
  <si>
    <r>
      <t xml:space="preserve">Varianza: </t>
    </r>
    <r>
      <rPr>
        <sz val="14"/>
        <color theme="1"/>
        <rFont val="Calibri"/>
        <family val="2"/>
      </rPr>
      <t>σ² = (</t>
    </r>
    <r>
      <rPr>
        <sz val="14"/>
        <color theme="1"/>
        <rFont val="Calibri"/>
        <family val="2"/>
        <scheme val="minor"/>
      </rPr>
      <t>(3² + 5² + 6² + 7² + 10² + 12² + 15² + 18²)  * 1/8) - µ²</t>
    </r>
  </si>
  <si>
    <t>3 PUNTO</t>
  </si>
  <si>
    <t xml:space="preserve">Hallar la varianza y la desviación típica de 5, 7, 6, 5, 10, 13, 6, 8, 7, 9, 9, 10, 5, 8 </t>
  </si>
  <si>
    <t>X1=5, X2=5, X3=5, X4=6, X5=6, X6=7, X7=7, X8=8, X9=8, X10=9, X11=9, 
X12=10, X13=10, X14=13  Y P=1/14</t>
  </si>
  <si>
    <r>
      <t xml:space="preserve">Varianza: </t>
    </r>
    <r>
      <rPr>
        <sz val="14"/>
        <color theme="1"/>
        <rFont val="Calibri"/>
        <family val="2"/>
      </rPr>
      <t>σ² = ((5^2 + 5^2 + 5^2 + 6^2 + 6^2 + 7^2 + 7^2 + 8^2 
+ 8^2 + 9^2 + 9^2 + 10^2 + 10^2 + 13^2) * (1/14))</t>
    </r>
    <r>
      <rPr>
        <sz val="14"/>
        <color theme="1"/>
        <rFont val="Calibri"/>
        <family val="2"/>
        <scheme val="minor"/>
      </rPr>
      <t xml:space="preserve"> - µ²</t>
    </r>
  </si>
  <si>
    <t>4 PUNTO</t>
  </si>
  <si>
    <t xml:space="preserve">Hallar la varianza y la desviación media de las notas de taller de matemáticas  </t>
  </si>
  <si>
    <t xml:space="preserve">3.8, 3.7, 4.5, 3.1, 0.0, 3.1, 2.9, 1.9, 2.6, 3.8, 3.8, 0.0, 4.0, 0.5, 4.6, 3.3, 1.7, 4.5, 3.7, 4.9, 2.0, 3.5, 4.4, 3.5, 4.0, 4.1, 2.7, 3.6, 3.3, 3.0, 3.6, 3.5, 4.4, 3.9, 4.3, 4.2, 4.0, 3.5 </t>
  </si>
  <si>
    <r>
      <rPr>
        <b/>
        <sz val="14"/>
        <color theme="1"/>
        <rFont val="Calibri"/>
        <family val="2"/>
        <scheme val="minor"/>
      </rPr>
      <t xml:space="preserve">Media: </t>
    </r>
    <r>
      <rPr>
        <sz val="14"/>
        <color theme="1"/>
        <rFont val="Calibri"/>
        <family val="2"/>
      </rPr>
      <t>µ</t>
    </r>
    <r>
      <rPr>
        <sz val="14"/>
        <color theme="1"/>
        <rFont val="Calibri"/>
        <family val="2"/>
        <scheme val="minor"/>
      </rPr>
      <t xml:space="preserve"> = (0.0 + 0.0 + 0.5 + 1.7 + 1.9 + 2.0 + 2.6 + 2.7 + 2.9 + 3.0 + 3.1 + 3.1 + 3.3 + 3.3 + 3.5 + 3.5 + 3.5 + 3.5 + 3.6 + 3.6 + 3.7 + 3.7 + 3.8 + 3.8 + 3.8 + 3.9 + 4.0 + 4.0 + 4.0 + 4.1 + 4.2 + 4.3 + 4.4 + 4.4 + 4.5 + 4.5 + 4.6 + 4.9) * (1/38)</t>
    </r>
  </si>
  <si>
    <t>TALLER MEDIA, VARIACION Y DESVIACION TIPICA</t>
  </si>
  <si>
    <t>Presentado Por: Anderson Rene Gomez Aza Grupo: S8A Fecha: 04/04/2024</t>
  </si>
  <si>
    <t>X1=0.0, X2=0.0, X3=0.5, X4=1.7, X5=1.9, X6=2.0, X7=2.6, X8=2.7, X9=2.9, X10=3.0, X11=3.1, X12=3.1, X13=3.3, X14=3.3, X15=3.5, X16=3.5, X17=3.5, X18=3.5, X19=3.6, X20=3.6, X21=3.7, X22=3.7, X23=3.8, X24=3.8, X25=3.8, X26=3.9, X27=4.0, X28=4.0, X29=4.0, X30=4.1, X31=4.2, X32=4.3, X33=4.4, X34=4.4, X35=4.5, X36=4.5, X37=4.6, X38=4.9       y   P = 1/38</t>
  </si>
  <si>
    <r>
      <t xml:space="preserve">Varianza: </t>
    </r>
    <r>
      <rPr>
        <sz val="14"/>
        <color theme="1"/>
        <rFont val="Calibri"/>
        <family val="2"/>
      </rPr>
      <t>σ² = (((0,0^2 + 0,0^2 + 0,5^2 + 1,7^2 + 1,9^2 + 2,0^2 + 2,6^2 + 2,7^2 + 2,9^2 + 3,0^2 + 3,1^2 + 3,1^2 + 3,3^2 + 3,3^2 + 3,5^2 + 3,5^2 + 3,5^2 + 3,5^2 + 3,6^2 + 3,6^2 + 3,7^2 + 3,7^2 + 3,8^2 + 3,8^2 + 3,8^2 + 3,9^2 + 4,0^2 + 4,0^2 + 4,0^2 + 4,1^2 + 4,2^2 + 4,3^2 + 4,4^2 + 4,4^2 + 4,5^2 + 4,5^2 + 4,6^2 + 4,9^2) * (1/38))-(3.32^2))</t>
    </r>
    <r>
      <rPr>
        <sz val="14"/>
        <color theme="1"/>
        <rFont val="Calibri"/>
        <family val="2"/>
        <scheme val="minor"/>
      </rPr>
      <t xml:space="preserve"> - µ²</t>
    </r>
  </si>
  <si>
    <r>
      <rPr>
        <b/>
        <sz val="14"/>
        <color theme="1"/>
        <rFont val="Calibri"/>
        <family val="2"/>
        <scheme val="minor"/>
      </rPr>
      <t xml:space="preserve">Media: </t>
    </r>
    <r>
      <rPr>
        <sz val="14"/>
        <color theme="1"/>
        <rFont val="Calibri"/>
        <family val="2"/>
      </rPr>
      <t>µ</t>
    </r>
    <r>
      <rPr>
        <sz val="14"/>
        <color theme="1"/>
        <rFont val="Calibri"/>
        <family val="2"/>
        <scheme val="minor"/>
      </rPr>
      <t xml:space="preserve"> = (5 + 5 + 5 + 6 + 6 + 7 + 7 + 8 + 8 + 9 + 9 + 10 + 10 + 13) 
* (1/14)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</si>
</sst>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/>
    </xf>
    <xf numFmtId="0" fontId="5" fillId="4" borderId="10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5" borderId="6" xfId="0" applyFont="1" applyFill="1" applyBorder="1" applyAlignment="1">
      <alignment vertical="center"/>
    </xf>
    <xf numFmtId="0" fontId="5" fillId="5" borderId="10" xfId="0" applyFont="1" applyFill="1" applyBorder="1" applyAlignment="1">
      <alignment vertical="center"/>
    </xf>
    <xf numFmtId="0" fontId="1" fillId="5" borderId="7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5672359</xdr:colOff>
      <xdr:row>12</xdr:row>
      <xdr:rowOff>34827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EFE6AF1-E144-4B0D-8DA2-2871459D6105}"/>
            </a:ext>
          </a:extLst>
        </xdr:cNvPr>
        <xdr:cNvSpPr txBox="1"/>
      </xdr:nvSpPr>
      <xdr:spPr>
        <a:xfrm>
          <a:off x="5672359" y="209030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 i="0">
            <a:latin typeface="+mn-lt"/>
          </a:endParaRPr>
        </a:p>
      </xdr:txBody>
    </xdr:sp>
    <xdr:clientData/>
  </xdr:oneCellAnchor>
  <xdr:oneCellAnchor>
    <xdr:from>
      <xdr:col>0</xdr:col>
      <xdr:colOff>5672359</xdr:colOff>
      <xdr:row>17</xdr:row>
      <xdr:rowOff>34827</xdr:rowOff>
    </xdr:from>
    <xdr:ext cx="65" cy="172227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EB2B8C5-A2A1-456B-9CC7-C733840AB318}"/>
            </a:ext>
          </a:extLst>
        </xdr:cNvPr>
        <xdr:cNvSpPr txBox="1"/>
      </xdr:nvSpPr>
      <xdr:spPr>
        <a:xfrm>
          <a:off x="5672359" y="29483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 i="0">
            <a:latin typeface="+mn-lt"/>
          </a:endParaRPr>
        </a:p>
      </xdr:txBody>
    </xdr:sp>
    <xdr:clientData/>
  </xdr:oneCellAnchor>
  <xdr:oneCellAnchor>
    <xdr:from>
      <xdr:col>0</xdr:col>
      <xdr:colOff>5672359</xdr:colOff>
      <xdr:row>23</xdr:row>
      <xdr:rowOff>34827</xdr:rowOff>
    </xdr:from>
    <xdr:ext cx="65" cy="172227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B07001A-B335-4CB4-B052-F604E098D62A}"/>
            </a:ext>
          </a:extLst>
        </xdr:cNvPr>
        <xdr:cNvSpPr txBox="1"/>
      </xdr:nvSpPr>
      <xdr:spPr>
        <a:xfrm>
          <a:off x="5672359" y="29483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 i="0">
            <a:latin typeface="+mn-lt"/>
          </a:endParaRPr>
        </a:p>
      </xdr:txBody>
    </xdr:sp>
    <xdr:clientData/>
  </xdr:oneCellAnchor>
  <xdr:oneCellAnchor>
    <xdr:from>
      <xdr:col>0</xdr:col>
      <xdr:colOff>5672359</xdr:colOff>
      <xdr:row>26</xdr:row>
      <xdr:rowOff>0</xdr:rowOff>
    </xdr:from>
    <xdr:ext cx="65" cy="172227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406B126C-0AB5-4BCF-8594-22A4EFD674E4}"/>
            </a:ext>
          </a:extLst>
        </xdr:cNvPr>
        <xdr:cNvSpPr txBox="1"/>
      </xdr:nvSpPr>
      <xdr:spPr>
        <a:xfrm>
          <a:off x="5672359" y="41970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 i="0">
            <a:latin typeface="+mn-lt"/>
          </a:endParaRPr>
        </a:p>
      </xdr:txBody>
    </xdr:sp>
    <xdr:clientData/>
  </xdr:oneCellAnchor>
  <xdr:oneCellAnchor>
    <xdr:from>
      <xdr:col>0</xdr:col>
      <xdr:colOff>5672359</xdr:colOff>
      <xdr:row>30</xdr:row>
      <xdr:rowOff>34827</xdr:rowOff>
    </xdr:from>
    <xdr:ext cx="65" cy="172227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3B4D0EEA-627D-41A8-8C0B-465B7347A65A}"/>
            </a:ext>
          </a:extLst>
        </xdr:cNvPr>
        <xdr:cNvSpPr txBox="1"/>
      </xdr:nvSpPr>
      <xdr:spPr>
        <a:xfrm>
          <a:off x="5672359" y="59963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CO" sz="1100" i="0">
            <a:latin typeface="+mn-lt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view="pageLayout" topLeftCell="A28" zoomScaleNormal="119" workbookViewId="0">
      <selection activeCell="A29" sqref="A29:B29"/>
    </sheetView>
  </sheetViews>
  <sheetFormatPr baseColWidth="10" defaultColWidth="8.88671875" defaultRowHeight="14.4" x14ac:dyDescent="0.3"/>
  <cols>
    <col min="1" max="1" width="71.88671875" customWidth="1"/>
    <col min="2" max="2" width="26.21875" customWidth="1"/>
  </cols>
  <sheetData>
    <row r="1" spans="1:2" ht="21.6" thickBot="1" x14ac:dyDescent="0.35">
      <c r="A1" s="19" t="s">
        <v>24</v>
      </c>
      <c r="B1" s="20"/>
    </row>
    <row r="2" spans="1:2" ht="21.6" thickBot="1" x14ac:dyDescent="0.35">
      <c r="A2" s="21" t="s">
        <v>25</v>
      </c>
      <c r="B2" s="22"/>
    </row>
    <row r="3" spans="1:2" ht="21.6" thickBot="1" x14ac:dyDescent="0.35">
      <c r="A3" s="3" t="s">
        <v>1</v>
      </c>
      <c r="B3" s="4"/>
    </row>
    <row r="4" spans="1:2" ht="21.6" thickBot="1" x14ac:dyDescent="0.35">
      <c r="A4" s="1" t="s">
        <v>0</v>
      </c>
      <c r="B4" s="2"/>
    </row>
    <row r="5" spans="1:2" ht="21.6" thickBot="1" x14ac:dyDescent="0.35">
      <c r="A5" s="27" t="s">
        <v>2</v>
      </c>
      <c r="B5" s="28"/>
    </row>
    <row r="6" spans="1:2" ht="18" x14ac:dyDescent="0.3">
      <c r="A6" s="29" t="s">
        <v>3</v>
      </c>
      <c r="B6" s="30" t="str">
        <f xml:space="preserve"> " µ = " &amp;  (6 * 1/5 ) + (10 * 1/5) + (13 * 1/5) + (28 * 1/5) + (31 * 1/5)</f>
        <v xml:space="preserve"> µ = 17,6</v>
      </c>
    </row>
    <row r="7" spans="1:2" ht="18" x14ac:dyDescent="0.3">
      <c r="A7" s="31" t="s">
        <v>4</v>
      </c>
      <c r="B7" s="32" t="str">
        <f>" σ² = "&amp;(((6^2)*1/5)+((10^2)*1/5)+((13^2)*1/5)+((28^2)*1/5)+((31^2)*1/5)-(17.6^2))</f>
        <v xml:space="preserve"> σ² = 100,24</v>
      </c>
    </row>
    <row r="8" spans="1:2" ht="18.600000000000001" thickBot="1" x14ac:dyDescent="0.35">
      <c r="A8" s="33" t="s">
        <v>5</v>
      </c>
      <c r="B8" s="34" t="str">
        <f>" σ = "&amp;(SQRT(100.24))</f>
        <v xml:space="preserve"> σ = 10,0119928086271</v>
      </c>
    </row>
    <row r="9" spans="1:2" ht="21.6" thickBot="1" x14ac:dyDescent="0.35">
      <c r="A9" s="5" t="s">
        <v>6</v>
      </c>
      <c r="B9" s="6"/>
    </row>
    <row r="10" spans="1:2" ht="44.4" customHeight="1" thickBot="1" x14ac:dyDescent="0.35">
      <c r="A10" s="7" t="s">
        <v>7</v>
      </c>
      <c r="B10" s="8"/>
    </row>
    <row r="11" spans="1:2" ht="21.6" thickBot="1" x14ac:dyDescent="0.35">
      <c r="A11" s="5" t="s">
        <v>8</v>
      </c>
      <c r="B11" s="6"/>
    </row>
    <row r="12" spans="1:2" ht="21.6" thickBot="1" x14ac:dyDescent="0.35">
      <c r="A12" s="35" t="s">
        <v>10</v>
      </c>
      <c r="B12" s="36"/>
    </row>
    <row r="13" spans="1:2" ht="18" x14ac:dyDescent="0.3">
      <c r="A13" s="37" t="s">
        <v>11</v>
      </c>
      <c r="B13" s="38" t="str">
        <f xml:space="preserve"> " µ = " &amp;  (2 * 1/5 ) + (3 * 1/5) + (6 * 1/5) + (8 * 1/5) + (11 * 1/5)</f>
        <v xml:space="preserve"> µ = 6</v>
      </c>
    </row>
    <row r="14" spans="1:2" ht="18" x14ac:dyDescent="0.3">
      <c r="A14" s="39" t="s">
        <v>12</v>
      </c>
      <c r="B14" s="40" t="str">
        <f>" σ² = "&amp;(((2^2)*1/5)+((3^2)*1/5)+((6^2)*1/5)+((8^2)*1/5)+((11^2)*1/5)-(6^2))</f>
        <v xml:space="preserve"> σ² = 10,8</v>
      </c>
    </row>
    <row r="15" spans="1:2" ht="18.600000000000001" thickBot="1" x14ac:dyDescent="0.35">
      <c r="A15" s="41" t="s">
        <v>5</v>
      </c>
      <c r="B15" s="42" t="str">
        <f>" σ = "&amp;(SQRT(10.8))</f>
        <v xml:space="preserve"> σ = 3,286335345031</v>
      </c>
    </row>
    <row r="16" spans="1:2" ht="21.6" thickBot="1" x14ac:dyDescent="0.35">
      <c r="A16" s="5" t="s">
        <v>9</v>
      </c>
      <c r="B16" s="6"/>
    </row>
    <row r="17" spans="1:2" ht="21.6" thickBot="1" x14ac:dyDescent="0.35">
      <c r="A17" s="35" t="s">
        <v>13</v>
      </c>
      <c r="B17" s="36"/>
    </row>
    <row r="18" spans="1:2" ht="18" x14ac:dyDescent="0.3">
      <c r="A18" s="37" t="s">
        <v>14</v>
      </c>
      <c r="B18" s="38" t="str">
        <f xml:space="preserve"> " µ = " &amp; ( (3 + 5 + 6 + 7 + 10 + 12 + 15 + 18)  * 1/8)</f>
        <v xml:space="preserve"> µ = 9,5</v>
      </c>
    </row>
    <row r="19" spans="1:2" ht="18" x14ac:dyDescent="0.3">
      <c r="A19" s="39" t="s">
        <v>15</v>
      </c>
      <c r="B19" s="40" t="str">
        <f>" σ² = "&amp;(((3^2 + 5^2 + 6^2 + 7^2 + 10^2 + 12^2 + 15^2 + 18^2)  * 1/8) - 9.5^2 )</f>
        <v xml:space="preserve"> σ² = 23,75</v>
      </c>
    </row>
    <row r="20" spans="1:2" ht="18.600000000000001" thickBot="1" x14ac:dyDescent="0.35">
      <c r="A20" s="41" t="s">
        <v>5</v>
      </c>
      <c r="B20" s="42" t="str">
        <f>" σ = "&amp;(SQRT(23.75))</f>
        <v xml:space="preserve"> σ = 4,87339717240448</v>
      </c>
    </row>
    <row r="21" spans="1:2" ht="21.6" thickBot="1" x14ac:dyDescent="0.35">
      <c r="A21" s="9" t="s">
        <v>16</v>
      </c>
      <c r="B21" s="10"/>
    </row>
    <row r="22" spans="1:2" ht="21.6" thickBot="1" x14ac:dyDescent="0.35">
      <c r="A22" s="11" t="s">
        <v>17</v>
      </c>
      <c r="B22" s="12"/>
    </row>
    <row r="23" spans="1:2" ht="43.2" customHeight="1" thickBot="1" x14ac:dyDescent="0.35">
      <c r="A23" s="43" t="s">
        <v>18</v>
      </c>
      <c r="B23" s="44"/>
    </row>
    <row r="24" spans="1:2" ht="43.2" customHeight="1" x14ac:dyDescent="0.3">
      <c r="A24" s="52" t="s">
        <v>28</v>
      </c>
      <c r="B24" s="13" t="str">
        <f xml:space="preserve"> " µ = " &amp; (5 + 5 + 5 + 6 + 6 + 7 + 7 + 8 + 8 + 9 + 9 + 10 + 10 + 13) * (1/14)</f>
        <v xml:space="preserve"> µ = 7,71428571428571</v>
      </c>
    </row>
    <row r="25" spans="1:2" ht="36" x14ac:dyDescent="0.3">
      <c r="A25" s="45" t="s">
        <v>19</v>
      </c>
      <c r="B25" s="46" t="str">
        <f>" σ² = "&amp;(((5^2 + 5^2 + 5^2 + 6^2 + 6^2 + 7^2 + 7^2 + 8^2
+ 8^2 + 9^2 + 9^2 + 10^2 + 10^2 + 13^2) * (1/14))-(7.72^2))</f>
        <v xml:space="preserve"> σ² = 4,97302857142857</v>
      </c>
    </row>
    <row r="26" spans="1:2" ht="18.600000000000001" thickBot="1" x14ac:dyDescent="0.35">
      <c r="A26" s="47" t="s">
        <v>5</v>
      </c>
      <c r="B26" s="48" t="str">
        <f>" σ = "&amp;(SQRT(4.98))</f>
        <v xml:space="preserve"> σ = 2,23159136044214</v>
      </c>
    </row>
    <row r="27" spans="1:2" ht="21.6" thickBot="1" x14ac:dyDescent="0.35">
      <c r="A27" s="14" t="s">
        <v>20</v>
      </c>
      <c r="B27" s="15"/>
    </row>
    <row r="28" spans="1:2" ht="21.6" thickBot="1" x14ac:dyDescent="0.35">
      <c r="A28" s="16" t="s">
        <v>21</v>
      </c>
      <c r="B28" s="17"/>
    </row>
    <row r="29" spans="1:2" ht="82.2" customHeight="1" thickBot="1" x14ac:dyDescent="0.35">
      <c r="A29" s="16" t="s">
        <v>22</v>
      </c>
      <c r="B29" s="17"/>
    </row>
    <row r="30" spans="1:2" ht="118.8" customHeight="1" thickBot="1" x14ac:dyDescent="0.35">
      <c r="A30" s="23" t="s">
        <v>26</v>
      </c>
      <c r="B30" s="24"/>
    </row>
    <row r="31" spans="1:2" ht="88.8" customHeight="1" x14ac:dyDescent="0.3">
      <c r="A31" s="26" t="s">
        <v>23</v>
      </c>
      <c r="B31" s="18" t="str">
        <f xml:space="preserve"> " µ = " &amp; (0 + 0 + 0.5 + 1.7 + 1.9 + 2 + 2.6 + 2.7 + 2.9 + 3 + 3.1 + 3.1 + 3.3 + 3.3 + 3.5 + 3.5 + 3.5 + 3.5 + 3.6 + 3.6 + 3.7 + 3.7 + 3.8 + 3.8 + 3.8 + 3.9 + 4 + 4 + 4 + 4.1 + 4.2 + 4.3 + 4.4 + 4.4 + 4.5 + 4.5 + 4.6 + 4.9) * (1/38)</f>
        <v xml:space="preserve"> µ = 3,31315789473684</v>
      </c>
    </row>
    <row r="32" spans="1:2" ht="114" customHeight="1" x14ac:dyDescent="0.3">
      <c r="A32" s="25" t="s">
        <v>27</v>
      </c>
      <c r="B32" s="49" t="str">
        <f>" σ² = "&amp;((0^2 + 0^2 + 0.5^2 + 1.7^2 + 1.9^2 + 2^2 + 2.6^2 + 2.7^2 + 2.9^2 + 3^2 + 3.1^2 + 3.1^2 + 3.3^2 + 3.3^2 + 3.5^2 + 3.5^2 + 3.5^2 + 3.5^2 + 3.6^2 + 3.6^2 + 3.7^2 + 3.7^2 + 3.8^2 + 3.8^2 + 3.8^2 + 3.9^2 + 4^2 + 4^2 + 4^2 + 4.1^2 + 4.2^2 + 4.3^2 + 4.4^2 + 4.4^2 + 4.5^2 + 4.5^2 + 4.6^2 + 4.9^2) * (1/38))-(3.32^2)</f>
        <v xml:space="preserve"> σ² = 1,32944210526316</v>
      </c>
    </row>
    <row r="33" spans="1:2" ht="18.600000000000001" thickBot="1" x14ac:dyDescent="0.35">
      <c r="A33" s="50" t="s">
        <v>5</v>
      </c>
      <c r="B33" s="51" t="str">
        <f>" σ = "&amp;(SQRT(1.33))</f>
        <v xml:space="preserve"> σ = 1,15325625946708</v>
      </c>
    </row>
  </sheetData>
  <mergeCells count="18">
    <mergeCell ref="A28:B28"/>
    <mergeCell ref="A30:B30"/>
    <mergeCell ref="A27:B27"/>
    <mergeCell ref="A29:B29"/>
    <mergeCell ref="A1:B1"/>
    <mergeCell ref="A2:B2"/>
    <mergeCell ref="A16:B16"/>
    <mergeCell ref="A17:B17"/>
    <mergeCell ref="A21:B21"/>
    <mergeCell ref="A22:B22"/>
    <mergeCell ref="A23:B23"/>
    <mergeCell ref="A5:B5"/>
    <mergeCell ref="A3:B3"/>
    <mergeCell ref="A4:B4"/>
    <mergeCell ref="A9:B9"/>
    <mergeCell ref="A10:B10"/>
    <mergeCell ref="A12:B12"/>
    <mergeCell ref="A11:B11"/>
  </mergeCells>
  <pageMargins left="0.2" right="0.10833333333333334" top="0.45833333333333331" bottom="0.1416666666666666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ANDERSON RENE GOMEZ AZA</cp:lastModifiedBy>
  <cp:lastPrinted>2024-04-04T18:23:55Z</cp:lastPrinted>
  <dcterms:created xsi:type="dcterms:W3CDTF">2015-06-05T18:19:34Z</dcterms:created>
  <dcterms:modified xsi:type="dcterms:W3CDTF">2024-04-04T18:26:09Z</dcterms:modified>
</cp:coreProperties>
</file>